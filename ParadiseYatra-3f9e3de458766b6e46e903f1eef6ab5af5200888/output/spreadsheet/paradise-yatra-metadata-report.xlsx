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Yashvardhan\Paradise Yatra\Website\Site Backup\paradise-yatra-main-site\ParadiseYatra-3f9e3de458766b6e46e903f1eef6ab5af5200888\output\spreadsheet\"/>
    </mc:Choice>
  </mc:AlternateContent>
  <xr:revisionPtr revIDLastSave="0" documentId="13_ncr:1_{000DF6FC-AF06-463F-A495-6B6FE7815C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Live Metadata" sheetId="2" r:id="rId2"/>
    <sheet name="Route Audit" sheetId="3" r:id="rId3"/>
    <sheet name="Global Metadata" sheetId="4" r:id="rId4"/>
  </sheets>
  <definedNames>
    <definedName name="_xlnm._FilterDatabase" localSheetId="3" hidden="1">'Global Metadata'!$A$1:$B$10</definedName>
    <definedName name="_xlnm._FilterDatabase" localSheetId="1" hidden="1">'Live Metadata'!$A$1:$AC$27</definedName>
    <definedName name="_xlnm._FilterDatabase" localSheetId="2" hidden="1">'Route Audit'!$A$1:$L$29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<sst xmlns="http://schemas.openxmlformats.org/spreadsheetml/2006/main" count="571" uniqueCount="269">
  <si>
    <t>Report</t>
  </si>
  <si>
    <t>Paradise Yatra Metadata Report (Admin-managed pages excluded)</t>
  </si>
  <si>
    <t>Generated At (UTC)</t>
  </si>
  <si>
    <t>2026-03-07T06:34:16+00:00</t>
  </si>
  <si>
    <t>Base URL</t>
  </si>
  <si>
    <t>https://paradiseyatra.com</t>
  </si>
  <si>
    <t>Total App Routes</t>
  </si>
  <si>
    <t>Total Live URLs Audited</t>
  </si>
  <si>
    <t>Routes Using generateMetadata</t>
  </si>
  <si>
    <t>Routes With No Page Metadata</t>
  </si>
  <si>
    <t>Live URLs Missing Description</t>
  </si>
  <si>
    <t>Live URLs Missing Canonical</t>
  </si>
  <si>
    <t>Live URLs Marked Noindex</t>
  </si>
  <si>
    <t>Page Name</t>
  </si>
  <si>
    <t>URL</t>
  </si>
  <si>
    <t>Matched Route</t>
  </si>
  <si>
    <t>Route File</t>
  </si>
  <si>
    <t>Source Type</t>
  </si>
  <si>
    <t>Sitemap Last Modified</t>
  </si>
  <si>
    <t>Sitemap Changefreq</t>
  </si>
  <si>
    <t>Sitemap Priority</t>
  </si>
  <si>
    <t>HTTP Status</t>
  </si>
  <si>
    <t>Final URL</t>
  </si>
  <si>
    <t>Title</t>
  </si>
  <si>
    <t>Title Length</t>
  </si>
  <si>
    <t>Meta Description</t>
  </si>
  <si>
    <t>Description Length</t>
  </si>
  <si>
    <t>Meta Keywords</t>
  </si>
  <si>
    <t>Canonical</t>
  </si>
  <si>
    <t>Robots</t>
  </si>
  <si>
    <t>Googlebot</t>
  </si>
  <si>
    <t>OG Title</t>
  </si>
  <si>
    <t>OG Description</t>
  </si>
  <si>
    <t>OG URL</t>
  </si>
  <si>
    <t>OG Type</t>
  </si>
  <si>
    <t>OG Image</t>
  </si>
  <si>
    <t>Twitter Card</t>
  </si>
  <si>
    <t>Twitter Title</t>
  </si>
  <si>
    <t>Twitter Description</t>
  </si>
  <si>
    <t>Twitter Image</t>
  </si>
  <si>
    <t>H1</t>
  </si>
  <si>
    <t>Issues</t>
  </si>
  <si>
    <t>Crafted ForCurious Travelers</t>
  </si>
  <si>
    <t>https://paradiseyatra.com/about</t>
  </si>
  <si>
    <t>/about</t>
  </si>
  <si>
    <t>src/app/about/page.tsx</t>
  </si>
  <si>
    <t>sitemap + app route</t>
  </si>
  <si>
    <t>2026-03-07T06:08:21.280Z</t>
  </si>
  <si>
    <t>monthly</t>
  </si>
  <si>
    <t>0.8</t>
  </si>
  <si>
    <t>Missing title; Missing description; Missing canonical; Missing og:title; Missing og:description; Missing twitter:title; Missing twitter:description</t>
  </si>
  <si>
    <t>Admin</t>
  </si>
  <si>
    <t>https://paradiseyatra.com/admin</t>
  </si>
  <si>
    <t>/admin</t>
  </si>
  <si>
    <t>src/app/admin/page.tsx</t>
  </si>
  <si>
    <t>Login</t>
  </si>
  <si>
    <t>https://paradiseyatra.com/admin/login</t>
  </si>
  <si>
    <t>/admin/login</t>
  </si>
  <si>
    <t>src/app/admin/login/page.tsx</t>
  </si>
  <si>
    <t>Blog</t>
  </si>
  <si>
    <t>https://paradiseyatra.com/blog</t>
  </si>
  <si>
    <t>/blog</t>
  </si>
  <si>
    <t>src/app/blog/page.tsx</t>
  </si>
  <si>
    <t>daily</t>
  </si>
  <si>
    <t>Checkout</t>
  </si>
  <si>
    <t>https://paradiseyatra.com/checkout</t>
  </si>
  <si>
    <t>/checkout</t>
  </si>
  <si>
    <t>src/app/checkout/page.tsx</t>
  </si>
  <si>
    <t>Something Amazing is Coming Soon...</t>
  </si>
  <si>
    <t>https://paradiseyatra.com/coming-soon</t>
  </si>
  <si>
    <t>/coming-soon</t>
  </si>
  <si>
    <t>src/app/coming-soon/page.tsx</t>
  </si>
  <si>
    <t>Contact Us</t>
  </si>
  <si>
    <t>https://paradiseyatra.com/contact</t>
  </si>
  <si>
    <t>/contact</t>
  </si>
  <si>
    <t>src/app/contact/page.tsx</t>
  </si>
  <si>
    <t>0.7</t>
  </si>
  <si>
    <t>Cookie Policy</t>
  </si>
  <si>
    <t>https://paradiseyatra.com/cookie-policy</t>
  </si>
  <si>
    <t>/cookie-policy</t>
  </si>
  <si>
    <t>src/app/cookie-policy/page.tsx</t>
  </si>
  <si>
    <t>yearly</t>
  </si>
  <si>
    <t>0.3</t>
  </si>
  <si>
    <t>Cookie Policy | Paradise Yatra</t>
  </si>
  <si>
    <t>Read Paradise Yatra's Cookie Policy to understand what cookies we use, why we use them, and how your continued use of the site applies to cookie usage.</t>
  </si>
  <si>
    <t>index, follow</t>
  </si>
  <si>
    <t>Missing og:title; Missing og:description; Missing twitter:title; Missing twitter:description</t>
  </si>
  <si>
    <t>Destinations</t>
  </si>
  <si>
    <t>https://paradiseyatra.com/destinations</t>
  </si>
  <si>
    <t>/destinations</t>
  </si>
  <si>
    <t>src/app/destinations/page.tsx</t>
  </si>
  <si>
    <t>weekly</t>
  </si>
  <si>
    <t>0.9</t>
  </si>
  <si>
    <t>Guaranteed Memories.</t>
  </si>
  <si>
    <t>https://paradiseyatra.com/fixed-departures</t>
  </si>
  <si>
    <t>/fixed-departures</t>
  </si>
  <si>
    <t>src/app/fixed-departures/page.tsx</t>
  </si>
  <si>
    <t>Fixed Departures | Paradise Yatra</t>
  </si>
  <si>
    <t>Join our curated group journeys designed for the discerning traveler.</t>
  </si>
  <si>
    <t>Missing canonical; Missing og:title; Missing og:description; Missing twitter:title; Missing twitter:description</t>
  </si>
  <si>
    <t>Holiday Types</t>
  </si>
  <si>
    <t>https://paradiseyatra.com/holiday-types</t>
  </si>
  <si>
    <t>/holiday-types</t>
  </si>
  <si>
    <t>src/app/holiday-types/page.tsx</t>
  </si>
  <si>
    <t>Dubai City Break</t>
  </si>
  <si>
    <t>https://paradiseyatra.com/holiday-types/dubai-city-break</t>
  </si>
  <si>
    <t>/holiday-types/[slug]</t>
  </si>
  <si>
    <t>src/app/holiday-types/[slug]/page.tsx</t>
  </si>
  <si>
    <t>2026-01-19T10:07:26.882Z</t>
  </si>
  <si>
    <t>0.6</t>
  </si>
  <si>
    <t>Santorini Escape</t>
  </si>
  <si>
    <t>https://paradiseyatra.com/holiday-types/santorini-escape</t>
  </si>
  <si>
    <t>2026-01-17T11:01:14.785Z</t>
  </si>
  <si>
    <t>Tropical Island Escape</t>
  </si>
  <si>
    <t>https://paradiseyatra.com/holiday-types/tropical-island-escape</t>
  </si>
  <si>
    <t>2025-11-15T12:09:43.127Z</t>
  </si>
  <si>
    <t>Explore Our Travel Itineraries</t>
  </si>
  <si>
    <t>https://paradiseyatra.com/itinerary</t>
  </si>
  <si>
    <t>/itinerary</t>
  </si>
  <si>
    <t>src/app/itinerary/page.tsx</t>
  </si>
  <si>
    <t>https://paradiseyatra.com/login</t>
  </si>
  <si>
    <t>/login</t>
  </si>
  <si>
    <t>src/app/login/page.tsx</t>
  </si>
  <si>
    <t>All Tour Packages</t>
  </si>
  <si>
    <t>https://paradiseyatra.com/package</t>
  </si>
  <si>
    <t>/package</t>
  </si>
  <si>
    <t>src/app/package/page.tsx</t>
  </si>
  <si>
    <t>All Tour Packages | Paradise Yatra</t>
  </si>
  <si>
    <t>Explore our wide range of domestic and international tour packages. Find the perfect holiday destination with Paradise Yatra.</t>
  </si>
  <si>
    <t>tour packages, travel, holiday, vacation, international tours, domestic tours, Paradise Yatra</t>
  </si>
  <si>
    <t>Explore our wide range of domestic and international tour packages.</t>
  </si>
  <si>
    <t>website</t>
  </si>
  <si>
    <t>https://paradiseyatra.com/hero.jpg</t>
  </si>
  <si>
    <t>summary_large_image</t>
  </si>
  <si>
    <t>Missing canonical</t>
  </si>
  <si>
    <t>Lets get this done</t>
  </si>
  <si>
    <t>https://paradiseyatra.com/payment</t>
  </si>
  <si>
    <t>/payment</t>
  </si>
  <si>
    <t>src/app/payment/page.tsx</t>
  </si>
  <si>
    <t>Privacy Policy</t>
  </si>
  <si>
    <t>https://paradiseyatra.com/privacy-policy</t>
  </si>
  <si>
    <t>/privacy-policy</t>
  </si>
  <si>
    <t>src/app/privacy-policy/page.tsx</t>
  </si>
  <si>
    <t>Privacy Policy | Paradise Yatra</t>
  </si>
  <si>
    <t>Read Paradise Yatra's Privacy Policy. Learn how we collect, use, share, and protect your data in compliance with India's IT Act (SPDI Rules, 2011) and the DPDP Act, 2023.</t>
  </si>
  <si>
    <t>My Bookings</t>
  </si>
  <si>
    <t>https://paradiseyatra.com/profile</t>
  </si>
  <si>
    <t>/profile</t>
  </si>
  <si>
    <t>src/app/profile/page.tsx</t>
  </si>
  <si>
    <t>Refund Policy</t>
  </si>
  <si>
    <t>https://paradiseyatra.com/refund-policy</t>
  </si>
  <si>
    <t>/refund-policy</t>
  </si>
  <si>
    <t>src/app/refund-policy/page.tsx</t>
  </si>
  <si>
    <t>Refund Policy | Paradise Yatra</t>
  </si>
  <si>
    <t>Read Paradise Yatra's refund policy. Learn about our liberal cancellation terms, refund processing timelines, and policies for damaged or defective items.</t>
  </si>
  <si>
    <t>Paradise Yatra refund policy,travel cancellation policy,refund terms,booking cancellation,travel refund process,Paradise Yatra cancellation,travel service refund,tourist booking cancellation,India travel refund,Uttarakhand tourism refund</t>
  </si>
  <si>
    <t>index, follow, max-video-preview:-1, max-image-preview:large, max-snippet:-1</t>
  </si>
  <si>
    <t>Our liberal cancellation and refund policy ensures customer satisfaction. Learn about timelines, terms, and procedures.</t>
  </si>
  <si>
    <t>Learn about our fair and transparent refund policy for travel bookings.</t>
  </si>
  <si>
    <t>Signup</t>
  </si>
  <si>
    <t>https://paradiseyatra.com/signup</t>
  </si>
  <si>
    <t>/signup</t>
  </si>
  <si>
    <t>src/app/signup/page.tsx</t>
  </si>
  <si>
    <t>Terms &amp; Conditions</t>
  </si>
  <si>
    <t>https://paradiseyatra.com/terms-and-conditions</t>
  </si>
  <si>
    <t>/terms-and-conditions</t>
  </si>
  <si>
    <t>src/app/terms-and-conditions/page.tsx</t>
  </si>
  <si>
    <t>Read Paradise Yatra's comprehensive terms and conditions. Learn about our booking policies, payment terms, refund policy, warranties, and legal information for travel services.</t>
  </si>
  <si>
    <t>Paradise Yatra terms,travel terms and conditions,booking policy,refund policy,travel service terms,Paradise Yatra policies,travel booking terms,tourist service terms,India travel terms,Uttarakhand tourism terms</t>
  </si>
  <si>
    <t>https://paradiseyatra.com/terms</t>
  </si>
  <si>
    <t>Terms &amp; Conditions - Paradise Yatra</t>
  </si>
  <si>
    <t>Comprehensive terms and conditions for Paradise Yatra travel services. Learn about our policies, warranties, and legal information.</t>
  </si>
  <si>
    <t>https://paradiseyatra.com/og-image-terms.jpg</t>
  </si>
  <si>
    <t>Read our comprehensive terms and conditions for travel services, booking policies, and legal information.</t>
  </si>
  <si>
    <t>Terms of Service</t>
  </si>
  <si>
    <t>https://paradiseyatra.com/terms-of-service</t>
  </si>
  <si>
    <t>/terms-of-service</t>
  </si>
  <si>
    <t>src/app/terms-of-service/page.tsx</t>
  </si>
  <si>
    <t>Terms of Service | Paradise Yatra</t>
  </si>
  <si>
    <t>Read Paradise Yatra's Terms of Service. Understand the terms and conditions that govern your use of our travel services and website.</t>
  </si>
  <si>
    <t>Travel Stories from the Paradise Yatra Community</t>
  </si>
  <si>
    <t>https://paradiseyatra.com/why-choose-us</t>
  </si>
  <si>
    <t>/why-choose-us</t>
  </si>
  <si>
    <t>src/app/why-choose-us/page.tsx</t>
  </si>
  <si>
    <t>Wishlist</t>
  </si>
  <si>
    <t>https://paradiseyatra.com/wishlist</t>
  </si>
  <si>
    <t>/wishlist</t>
  </si>
  <si>
    <t>src/app/wishlist/page.tsx</t>
  </si>
  <si>
    <t>Route Pattern</t>
  </si>
  <si>
    <t>Route Kind</t>
  </si>
  <si>
    <t>Source File</t>
  </si>
  <si>
    <t>Metadata Source</t>
  </si>
  <si>
    <t>Sitemap URL Count</t>
  </si>
  <si>
    <t>Sample Live URL</t>
  </si>
  <si>
    <t>Static Title</t>
  </si>
  <si>
    <t>Static Description</t>
  </si>
  <si>
    <t>Static Keywords</t>
  </si>
  <si>
    <t>Static Canonical</t>
  </si>
  <si>
    <t>Static Robots</t>
  </si>
  <si>
    <t>Notes</t>
  </si>
  <si>
    <t>static</t>
  </si>
  <si>
    <t>none</t>
  </si>
  <si>
    <t>Every trip is designed around your pace, interests, and budget.</t>
  </si>
  <si>
    <t>No page-level metadata export found; page inherits root metadata.</t>
  </si>
  <si>
    <t>Payment Successful</t>
  </si>
  <si>
    <t>${pkg.title} (${unitLabel})</t>
  </si>
  <si>
    <t>static metadata</t>
  </si>
  <si>
    <t>index=true, follow=true</t>
  </si>
  <si>
    <t>/destinations/[slug]</t>
  </si>
  <si>
    <t>dynamic</t>
  </si>
  <si>
    <t>src/app/destinations/[slug]/page.tsx</t>
  </si>
  <si>
    <t>/itinerary/[slug]</t>
  </si>
  <si>
    <t>src/app/itinerary/[slug]/page.tsx</t>
  </si>
  <si>
    <t>Royal Rajasthan Adventure</t>
  </si>
  <si>
    <t>/package/india/[state]</t>
  </si>
  <si>
    <t>src/app/package/india/[state]/page.tsx</t>
  </si>
  <si>
    <t>generateMetadata</t>
  </si>
  <si>
    <t>${formattedState} Tour Packages | Paradise Yatra</t>
  </si>
  <si>
    <t>Explore the best tour packages for ${formattedState}. Handpicked premium collections for an unforgettable travel experience in ${formattedState}.</t>
  </si>
  <si>
    <t>${state} tour packages, ${state} travel, ${state} holiday packages, Paradise Yatra</t>
  </si>
  <si>
    <t>/package/india/${resolvedParams.state}</t>
  </si>
  <si>
    <t>/package/international/[country]</t>
  </si>
  <si>
    <t>src/app/package/international/[country]/page.tsx</t>
  </si>
  <si>
    <t>${formattedCountry} Tour Packages | Paradise Yatra</t>
  </si>
  <si>
    <t>Explore the best tour packages for ${formattedCountry}. Premium travel experiences curated by Paradise Yatra.</t>
  </si>
  <si>
    <t>${country} tour packages, ${country} tours, ${country} holiday, Paradise Yatra</t>
  </si>
  <si>
    <t>/package/international/${resolvedParams.country}</t>
  </si>
  <si>
    <t>Package Booking</t>
  </si>
  <si>
    <t>Select your travel package first, then continue with payment.</t>
  </si>
  <si>
    <t>Read Paradise Yatra\</t>
  </si>
  <si>
    <t>Paradise Yatra refund policy, travel cancellation policy, refund terms, booking cancellation, travel refund process, Paradise Yatra cancellation, travel service refund, tourist booking cancellation, India travel refund, Uttarakhand tourism refund</t>
  </si>
  <si>
    <t>Booking &amp; Payment</t>
  </si>
  <si>
    <t>Paradise Yatra terms, travel terms and conditions, booking policy, refund policy, travel service terms, Paradise Yatra policies, travel booking terms, tourist service terms, India travel terms, Uttarakhand tourism terms</t>
  </si>
  <si>
    <t>Key</t>
  </si>
  <si>
    <t>Value</t>
  </si>
  <si>
    <t>source_file</t>
  </si>
  <si>
    <t>src/app/layout.tsx</t>
  </si>
  <si>
    <t>metadataBase</t>
  </si>
  <si>
    <t>process.env.NEXT_PUBLIC_SITE_URL || 'https://paradiseyatra.com'</t>
  </si>
  <si>
    <t>icons.icon</t>
  </si>
  <si>
    <t>/favicon.png</t>
  </si>
  <si>
    <t>icons.shortcut</t>
  </si>
  <si>
    <t>icons.apple</t>
  </si>
  <si>
    <t>verification.google</t>
  </si>
  <si>
    <t>BdQBvIBq9neLnNKB-UbBDMkLm47f_BupmJrmVr37QFE</t>
  </si>
  <si>
    <t>other.theme-color</t>
  </si>
  <si>
    <t>#1e40af</t>
  </si>
  <si>
    <t>other.sitemap</t>
  </si>
  <si>
    <t>/sitemap.xml</t>
  </si>
  <si>
    <t>other.Content-Security-Policy</t>
  </si>
  <si>
    <t>default-src 'self'; script-src 'self' 'unsafe-eval' 'unsafe-inline' https://www.googletagmanager.com https://www.youtube-nocookie.com https://accounts.google.com/gsi/client; style-src 'self' 'unsafe-inline' https://fonts.googleapis.com; font-src 'self' https://fonts.gstatic.com; img-src 'self' data: https: blob:; media-src 'self' https://www.youtube-nocookie.com; frame-src 'self' https://www.youtube-nocookie.com https://accounts.google.com/gsi/; connect-src 'self' https://www.youtube-nocookie.com https://accounts.google.com/gsi/;</t>
  </si>
  <si>
    <t>Admin Dashboard | Paradise Yatra</t>
  </si>
  <si>
    <t>Admin Login | Paradise Yatra</t>
  </si>
  <si>
    <t>Blog | Paradise Yatra</t>
  </si>
  <si>
    <t>Checkout | Paradise Yatra</t>
  </si>
  <si>
    <t>Destinations | Paradise Yatra</t>
  </si>
  <si>
    <t>Login | Paradise Yatra</t>
  </si>
  <si>
    <t>Wishlist | Paradise Yatra</t>
  </si>
  <si>
    <t>Coming Soon | Paradise Yatra</t>
  </si>
  <si>
    <t>Contact | Paradise Yatra</t>
  </si>
  <si>
    <t>Payment | Paradise Yatra</t>
  </si>
  <si>
    <t>Profile | Paradise Yatra</t>
  </si>
  <si>
    <t>Sign Up | Paradise Yatra</t>
  </si>
  <si>
    <t>Terms &amp; Conditions | Paradise Yatra</t>
  </si>
  <si>
    <t>Remove Page</t>
  </si>
  <si>
    <t>Why Choose Us | Paradise Yatra</t>
  </si>
  <si>
    <t>Premium Tour Packages | Paradise Yatra</t>
  </si>
  <si>
    <t>Holiday Tour Packages | Paradise Yatra</t>
  </si>
  <si>
    <t>About | Paradise Yatra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</si>
</sst>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22" sqref="D22"/>
    </sheetView>
  </sheetViews>
  <sheetFormatPr defaultRowHeight="14.4" x14ac:dyDescent="0.3"/>
  <cols>
    <col min="1" max="1" width="31" customWidth="1"/>
    <col min="2" max="2" width="57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>
        <f>COUNTA('Route Audit'!A:A)-1</f>
        <v>28</v>
      </c>
    </row>
    <row r="5" spans="1:2" x14ac:dyDescent="0.3">
      <c r="A5" s="2" t="s">
        <v>7</v>
      </c>
      <c r="B5" s="2">
        <f>COUNTA('Live Metadata'!A:A)-1</f>
        <v>26</v>
      </c>
    </row>
    <row r="6" spans="1:2" x14ac:dyDescent="0.3">
      <c r="A6" s="2" t="s">
        <v>8</v>
      </c>
      <c r="B6" s="2">
        <f>COUNTIF('Route Audit'!D:D,"*generateMetadata*")</f>
        <v>2</v>
      </c>
    </row>
    <row r="7" spans="1:2" x14ac:dyDescent="0.3">
      <c r="A7" s="2" t="s">
        <v>9</v>
      </c>
      <c r="B7" s="2">
        <f>COUNTIF('Route Audit'!D:D,"none")</f>
        <v>19</v>
      </c>
    </row>
    <row r="8" spans="1:2" x14ac:dyDescent="0.3">
      <c r="A8" s="2" t="s">
        <v>10</v>
      </c>
      <c r="B8" s="2">
        <f>COUNTIF('Live Metadata'!AC:AC,"*Missing description*")</f>
        <v>19</v>
      </c>
    </row>
    <row r="9" spans="1:2" x14ac:dyDescent="0.3">
      <c r="A9" s="2" t="s">
        <v>11</v>
      </c>
      <c r="B9" s="2">
        <f>COUNTIF('Live Metadata'!AC:AC,"*Missing canonical*")</f>
        <v>21</v>
      </c>
    </row>
    <row r="10" spans="1:2" x14ac:dyDescent="0.3">
      <c r="A10" s="2" t="s">
        <v>12</v>
      </c>
      <c r="B10" s="2">
        <f>COUNTIF('Live Metadata'!AC:AC,"*Noindex*")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7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4.4" x14ac:dyDescent="0.3"/>
  <cols>
    <col min="1" max="1" width="50" customWidth="1"/>
    <col min="2" max="2" width="60" customWidth="1"/>
    <col min="3" max="3" width="23" hidden="1" customWidth="1"/>
    <col min="4" max="4" width="39" hidden="1" customWidth="1"/>
    <col min="5" max="5" width="21" hidden="1" customWidth="1"/>
    <col min="6" max="6" width="26" hidden="1" customWidth="1"/>
    <col min="7" max="7" width="20" hidden="1" customWidth="1"/>
    <col min="8" max="8" width="18" hidden="1" customWidth="1"/>
    <col min="9" max="9" width="14" hidden="1" customWidth="1"/>
    <col min="10" max="11" width="60" customWidth="1"/>
    <col min="12" max="12" width="14" customWidth="1"/>
    <col min="13" max="13" width="60" customWidth="1"/>
    <col min="14" max="14" width="20" customWidth="1"/>
    <col min="15" max="16" width="60" customWidth="1"/>
    <col min="17" max="17" width="15" customWidth="1"/>
    <col min="18" max="18" width="60" customWidth="1"/>
    <col min="19" max="19" width="50" customWidth="1"/>
    <col min="20" max="21" width="60" customWidth="1"/>
    <col min="22" max="22" width="14" customWidth="1"/>
    <col min="23" max="23" width="60" customWidth="1"/>
    <col min="24" max="24" width="21" customWidth="1"/>
    <col min="25" max="25" width="50" customWidth="1"/>
    <col min="26" max="27" width="60" customWidth="1"/>
    <col min="28" max="28" width="50" customWidth="1"/>
    <col min="29" max="29" width="60" customWidth="1"/>
  </cols>
  <sheetData>
    <row r="1" spans="1:29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>
        <v>200</v>
      </c>
      <c r="J2" t="s">
        <v>43</v>
      </c>
      <c r="K2" t="s">
        <v>268</v>
      </c>
      <c r="L2">
        <v>0</v>
      </c>
      <c r="N2">
        <v>0</v>
      </c>
      <c r="AB2" t="s">
        <v>42</v>
      </c>
      <c r="AC2" t="s">
        <v>50</v>
      </c>
    </row>
    <row r="3" spans="1:29" x14ac:dyDescent="0.3">
      <c r="A3" t="s">
        <v>51</v>
      </c>
      <c r="B3" t="s">
        <v>52</v>
      </c>
      <c r="C3" t="s">
        <v>53</v>
      </c>
      <c r="D3" t="s">
        <v>54</v>
      </c>
      <c r="E3" t="s">
        <v>46</v>
      </c>
      <c r="I3">
        <v>200</v>
      </c>
      <c r="J3" t="s">
        <v>52</v>
      </c>
      <c r="K3" t="s">
        <v>251</v>
      </c>
      <c r="L3">
        <v>0</v>
      </c>
      <c r="N3">
        <v>0</v>
      </c>
      <c r="AC3" t="s">
        <v>50</v>
      </c>
    </row>
    <row r="4" spans="1:29" x14ac:dyDescent="0.3">
      <c r="A4" t="s">
        <v>55</v>
      </c>
      <c r="B4" t="s">
        <v>56</v>
      </c>
      <c r="C4" t="s">
        <v>57</v>
      </c>
      <c r="D4" t="s">
        <v>58</v>
      </c>
      <c r="E4" t="s">
        <v>46</v>
      </c>
      <c r="I4">
        <v>200</v>
      </c>
      <c r="J4" t="s">
        <v>56</v>
      </c>
      <c r="K4" t="s">
        <v>252</v>
      </c>
      <c r="L4">
        <v>0</v>
      </c>
      <c r="N4">
        <v>0</v>
      </c>
      <c r="AC4" t="s">
        <v>50</v>
      </c>
    </row>
    <row r="5" spans="1:29" x14ac:dyDescent="0.3">
      <c r="A5" t="s">
        <v>59</v>
      </c>
      <c r="B5" t="s">
        <v>60</v>
      </c>
      <c r="C5" t="s">
        <v>61</v>
      </c>
      <c r="D5" t="s">
        <v>62</v>
      </c>
      <c r="E5" t="s">
        <v>46</v>
      </c>
      <c r="F5" t="s">
        <v>47</v>
      </c>
      <c r="G5" t="s">
        <v>63</v>
      </c>
      <c r="H5" t="s">
        <v>49</v>
      </c>
      <c r="I5">
        <v>200</v>
      </c>
      <c r="J5" t="s">
        <v>60</v>
      </c>
      <c r="K5" t="s">
        <v>253</v>
      </c>
      <c r="L5">
        <v>0</v>
      </c>
      <c r="N5">
        <v>0</v>
      </c>
      <c r="AC5" t="s">
        <v>50</v>
      </c>
    </row>
    <row r="6" spans="1:29" x14ac:dyDescent="0.3">
      <c r="A6" t="s">
        <v>64</v>
      </c>
      <c r="B6" t="s">
        <v>65</v>
      </c>
      <c r="C6" t="s">
        <v>66</v>
      </c>
      <c r="D6" t="s">
        <v>67</v>
      </c>
      <c r="E6" t="s">
        <v>46</v>
      </c>
      <c r="I6">
        <v>200</v>
      </c>
      <c r="J6" t="s">
        <v>65</v>
      </c>
      <c r="K6" t="s">
        <v>254</v>
      </c>
      <c r="L6">
        <v>0</v>
      </c>
      <c r="N6">
        <v>0</v>
      </c>
      <c r="AC6" t="s">
        <v>50</v>
      </c>
    </row>
    <row r="7" spans="1:29" x14ac:dyDescent="0.3">
      <c r="A7" t="s">
        <v>68</v>
      </c>
      <c r="B7" t="s">
        <v>69</v>
      </c>
      <c r="C7" t="s">
        <v>70</v>
      </c>
      <c r="D7" t="s">
        <v>71</v>
      </c>
      <c r="E7" t="s">
        <v>46</v>
      </c>
      <c r="I7">
        <v>200</v>
      </c>
      <c r="J7" t="s">
        <v>69</v>
      </c>
      <c r="K7" t="s">
        <v>258</v>
      </c>
      <c r="L7">
        <v>0</v>
      </c>
      <c r="N7">
        <v>0</v>
      </c>
      <c r="AB7" t="s">
        <v>68</v>
      </c>
      <c r="AC7" t="s">
        <v>50</v>
      </c>
    </row>
    <row r="8" spans="1:29" x14ac:dyDescent="0.3">
      <c r="A8" t="s">
        <v>72</v>
      </c>
      <c r="B8" t="s">
        <v>73</v>
      </c>
      <c r="C8" t="s">
        <v>74</v>
      </c>
      <c r="D8" t="s">
        <v>75</v>
      </c>
      <c r="E8" t="s">
        <v>46</v>
      </c>
      <c r="F8" t="s">
        <v>47</v>
      </c>
      <c r="G8" t="s">
        <v>48</v>
      </c>
      <c r="H8" t="s">
        <v>76</v>
      </c>
      <c r="I8">
        <v>200</v>
      </c>
      <c r="J8" t="s">
        <v>73</v>
      </c>
      <c r="K8" t="s">
        <v>259</v>
      </c>
      <c r="L8">
        <v>0</v>
      </c>
      <c r="N8">
        <v>0</v>
      </c>
      <c r="AB8" t="s">
        <v>72</v>
      </c>
      <c r="AC8" t="s">
        <v>50</v>
      </c>
    </row>
    <row r="9" spans="1:29" x14ac:dyDescent="0.3">
      <c r="A9" t="s">
        <v>77</v>
      </c>
      <c r="B9" t="s">
        <v>78</v>
      </c>
      <c r="C9" t="s">
        <v>79</v>
      </c>
      <c r="D9" t="s">
        <v>80</v>
      </c>
      <c r="E9" t="s">
        <v>46</v>
      </c>
      <c r="F9" t="s">
        <v>47</v>
      </c>
      <c r="G9" t="s">
        <v>81</v>
      </c>
      <c r="H9" t="s">
        <v>82</v>
      </c>
      <c r="I9">
        <v>200</v>
      </c>
      <c r="J9" t="s">
        <v>78</v>
      </c>
      <c r="K9" t="s">
        <v>83</v>
      </c>
      <c r="L9">
        <v>30</v>
      </c>
      <c r="M9" t="s">
        <v>84</v>
      </c>
      <c r="N9">
        <v>151</v>
      </c>
      <c r="P9" t="s">
        <v>78</v>
      </c>
      <c r="Q9" t="s">
        <v>85</v>
      </c>
      <c r="AB9" t="s">
        <v>77</v>
      </c>
      <c r="AC9" t="s">
        <v>86</v>
      </c>
    </row>
    <row r="10" spans="1:29" x14ac:dyDescent="0.3">
      <c r="A10" t="s">
        <v>87</v>
      </c>
      <c r="B10" t="s">
        <v>88</v>
      </c>
      <c r="C10" t="s">
        <v>89</v>
      </c>
      <c r="D10" t="s">
        <v>90</v>
      </c>
      <c r="E10" t="s">
        <v>46</v>
      </c>
      <c r="F10" t="s">
        <v>47</v>
      </c>
      <c r="G10" t="s">
        <v>91</v>
      </c>
      <c r="H10" t="s">
        <v>92</v>
      </c>
      <c r="I10">
        <v>200</v>
      </c>
      <c r="J10" t="s">
        <v>88</v>
      </c>
      <c r="K10" t="s">
        <v>255</v>
      </c>
      <c r="L10">
        <v>0</v>
      </c>
      <c r="N10">
        <v>0</v>
      </c>
      <c r="AC10" t="s">
        <v>50</v>
      </c>
    </row>
    <row r="11" spans="1:29" x14ac:dyDescent="0.3">
      <c r="A11" t="s">
        <v>93</v>
      </c>
      <c r="B11" t="s">
        <v>94</v>
      </c>
      <c r="C11" t="s">
        <v>95</v>
      </c>
      <c r="D11" t="s">
        <v>96</v>
      </c>
      <c r="E11" t="s">
        <v>46</v>
      </c>
      <c r="F11" t="s">
        <v>47</v>
      </c>
      <c r="G11" t="s">
        <v>91</v>
      </c>
      <c r="H11" t="s">
        <v>49</v>
      </c>
      <c r="I11">
        <v>200</v>
      </c>
      <c r="J11" t="s">
        <v>94</v>
      </c>
      <c r="K11" t="s">
        <v>97</v>
      </c>
      <c r="L11">
        <v>33</v>
      </c>
      <c r="M11" t="s">
        <v>98</v>
      </c>
      <c r="N11">
        <v>69</v>
      </c>
      <c r="AB11" t="s">
        <v>93</v>
      </c>
      <c r="AC11" t="s">
        <v>99</v>
      </c>
    </row>
    <row r="12" spans="1:29" x14ac:dyDescent="0.3">
      <c r="A12" t="s">
        <v>100</v>
      </c>
      <c r="B12" t="s">
        <v>101</v>
      </c>
      <c r="C12" t="s">
        <v>102</v>
      </c>
      <c r="D12" t="s">
        <v>103</v>
      </c>
      <c r="E12" t="s">
        <v>46</v>
      </c>
      <c r="F12" t="s">
        <v>47</v>
      </c>
      <c r="G12" t="s">
        <v>48</v>
      </c>
      <c r="H12" t="s">
        <v>76</v>
      </c>
      <c r="I12">
        <v>200</v>
      </c>
      <c r="J12" t="s">
        <v>101</v>
      </c>
      <c r="K12" t="s">
        <v>267</v>
      </c>
      <c r="L12">
        <v>0</v>
      </c>
      <c r="N12">
        <v>0</v>
      </c>
      <c r="AC12" t="s">
        <v>50</v>
      </c>
    </row>
    <row r="13" spans="1:29" x14ac:dyDescent="0.3">
      <c r="A13" t="s">
        <v>104</v>
      </c>
      <c r="B13" t="s">
        <v>105</v>
      </c>
      <c r="C13" t="s">
        <v>106</v>
      </c>
      <c r="D13" t="s">
        <v>107</v>
      </c>
      <c r="E13" t="s">
        <v>46</v>
      </c>
      <c r="F13" t="s">
        <v>108</v>
      </c>
      <c r="G13" t="s">
        <v>48</v>
      </c>
      <c r="H13" t="s">
        <v>109</v>
      </c>
      <c r="I13">
        <v>200</v>
      </c>
      <c r="J13" t="s">
        <v>105</v>
      </c>
      <c r="L13">
        <v>0</v>
      </c>
      <c r="N13">
        <v>0</v>
      </c>
      <c r="AC13" t="s">
        <v>50</v>
      </c>
    </row>
    <row r="14" spans="1:29" x14ac:dyDescent="0.3">
      <c r="A14" t="s">
        <v>110</v>
      </c>
      <c r="B14" t="s">
        <v>111</v>
      </c>
      <c r="C14" t="s">
        <v>106</v>
      </c>
      <c r="D14" t="s">
        <v>107</v>
      </c>
      <c r="E14" t="s">
        <v>46</v>
      </c>
      <c r="F14" t="s">
        <v>112</v>
      </c>
      <c r="G14" t="s">
        <v>48</v>
      </c>
      <c r="H14" t="s">
        <v>109</v>
      </c>
      <c r="I14">
        <v>200</v>
      </c>
      <c r="J14" t="s">
        <v>111</v>
      </c>
      <c r="L14">
        <v>0</v>
      </c>
      <c r="N14">
        <v>0</v>
      </c>
      <c r="AC14" t="s">
        <v>50</v>
      </c>
    </row>
    <row r="15" spans="1:29" x14ac:dyDescent="0.3">
      <c r="A15" t="s">
        <v>113</v>
      </c>
      <c r="B15" t="s">
        <v>114</v>
      </c>
      <c r="C15" t="s">
        <v>106</v>
      </c>
      <c r="D15" t="s">
        <v>107</v>
      </c>
      <c r="E15" t="s">
        <v>46</v>
      </c>
      <c r="F15" t="s">
        <v>115</v>
      </c>
      <c r="G15" t="s">
        <v>48</v>
      </c>
      <c r="H15" t="s">
        <v>109</v>
      </c>
      <c r="I15">
        <v>200</v>
      </c>
      <c r="J15" t="s">
        <v>114</v>
      </c>
      <c r="L15">
        <v>0</v>
      </c>
      <c r="N15">
        <v>0</v>
      </c>
      <c r="AC15" t="s">
        <v>50</v>
      </c>
    </row>
    <row r="16" spans="1:29" x14ac:dyDescent="0.3">
      <c r="A16" t="s">
        <v>116</v>
      </c>
      <c r="B16" t="s">
        <v>117</v>
      </c>
      <c r="C16" t="s">
        <v>118</v>
      </c>
      <c r="D16" t="s">
        <v>119</v>
      </c>
      <c r="E16" t="s">
        <v>46</v>
      </c>
      <c r="I16">
        <v>200</v>
      </c>
      <c r="J16" t="s">
        <v>117</v>
      </c>
      <c r="K16" t="s">
        <v>264</v>
      </c>
      <c r="L16">
        <v>0</v>
      </c>
      <c r="N16">
        <v>0</v>
      </c>
      <c r="AB16" t="s">
        <v>116</v>
      </c>
      <c r="AC16" t="s">
        <v>50</v>
      </c>
    </row>
    <row r="17" spans="1:29" x14ac:dyDescent="0.3">
      <c r="A17" t="s">
        <v>55</v>
      </c>
      <c r="B17" t="s">
        <v>120</v>
      </c>
      <c r="C17" t="s">
        <v>121</v>
      </c>
      <c r="D17" t="s">
        <v>122</v>
      </c>
      <c r="E17" t="s">
        <v>46</v>
      </c>
      <c r="I17">
        <v>200</v>
      </c>
      <c r="J17" t="s">
        <v>120</v>
      </c>
      <c r="K17" t="s">
        <v>256</v>
      </c>
      <c r="L17">
        <v>0</v>
      </c>
      <c r="N17">
        <v>0</v>
      </c>
      <c r="AC17" t="s">
        <v>50</v>
      </c>
    </row>
    <row r="18" spans="1:29" x14ac:dyDescent="0.3">
      <c r="A18" t="s">
        <v>123</v>
      </c>
      <c r="B18" t="s">
        <v>124</v>
      </c>
      <c r="C18" t="s">
        <v>125</v>
      </c>
      <c r="D18" t="s">
        <v>126</v>
      </c>
      <c r="E18" t="s">
        <v>46</v>
      </c>
      <c r="F18" t="s">
        <v>47</v>
      </c>
      <c r="G18" t="s">
        <v>91</v>
      </c>
      <c r="H18" t="s">
        <v>92</v>
      </c>
      <c r="I18">
        <v>200</v>
      </c>
      <c r="J18" t="s">
        <v>124</v>
      </c>
      <c r="K18" t="s">
        <v>266</v>
      </c>
      <c r="L18">
        <v>34</v>
      </c>
      <c r="M18" t="s">
        <v>128</v>
      </c>
      <c r="N18">
        <v>125</v>
      </c>
      <c r="O18" t="s">
        <v>129</v>
      </c>
      <c r="S18" t="s">
        <v>127</v>
      </c>
      <c r="T18" t="s">
        <v>130</v>
      </c>
      <c r="U18" t="s">
        <v>124</v>
      </c>
      <c r="V18" t="s">
        <v>131</v>
      </c>
      <c r="W18" t="s">
        <v>132</v>
      </c>
      <c r="X18" t="s">
        <v>133</v>
      </c>
      <c r="Y18" t="s">
        <v>127</v>
      </c>
      <c r="Z18" t="s">
        <v>130</v>
      </c>
      <c r="AA18" t="s">
        <v>132</v>
      </c>
      <c r="AC18" t="s">
        <v>134</v>
      </c>
    </row>
    <row r="19" spans="1:29" x14ac:dyDescent="0.3">
      <c r="A19" t="s">
        <v>135</v>
      </c>
      <c r="B19" t="s">
        <v>136</v>
      </c>
      <c r="C19" t="s">
        <v>137</v>
      </c>
      <c r="D19" t="s">
        <v>138</v>
      </c>
      <c r="E19" t="s">
        <v>46</v>
      </c>
      <c r="I19">
        <v>200</v>
      </c>
      <c r="J19" t="s">
        <v>136</v>
      </c>
      <c r="K19" t="s">
        <v>260</v>
      </c>
      <c r="L19">
        <v>0</v>
      </c>
      <c r="N19">
        <v>0</v>
      </c>
      <c r="AB19" t="s">
        <v>135</v>
      </c>
      <c r="AC19" t="s">
        <v>50</v>
      </c>
    </row>
    <row r="20" spans="1:29" x14ac:dyDescent="0.3">
      <c r="A20" t="s">
        <v>139</v>
      </c>
      <c r="B20" t="s">
        <v>140</v>
      </c>
      <c r="C20" t="s">
        <v>141</v>
      </c>
      <c r="D20" t="s">
        <v>142</v>
      </c>
      <c r="E20" t="s">
        <v>46</v>
      </c>
      <c r="F20" t="s">
        <v>47</v>
      </c>
      <c r="G20" t="s">
        <v>81</v>
      </c>
      <c r="H20" t="s">
        <v>82</v>
      </c>
      <c r="I20">
        <v>200</v>
      </c>
      <c r="J20" t="s">
        <v>140</v>
      </c>
      <c r="K20" t="s">
        <v>143</v>
      </c>
      <c r="L20">
        <v>31</v>
      </c>
      <c r="M20" t="s">
        <v>144</v>
      </c>
      <c r="N20">
        <v>170</v>
      </c>
      <c r="P20" t="s">
        <v>140</v>
      </c>
      <c r="Q20" t="s">
        <v>85</v>
      </c>
      <c r="AB20" t="s">
        <v>139</v>
      </c>
      <c r="AC20" t="s">
        <v>86</v>
      </c>
    </row>
    <row r="21" spans="1:29" x14ac:dyDescent="0.3">
      <c r="A21" t="s">
        <v>145</v>
      </c>
      <c r="B21" t="s">
        <v>146</v>
      </c>
      <c r="C21" t="s">
        <v>147</v>
      </c>
      <c r="D21" t="s">
        <v>148</v>
      </c>
      <c r="E21" t="s">
        <v>46</v>
      </c>
      <c r="I21">
        <v>200</v>
      </c>
      <c r="J21" t="s">
        <v>146</v>
      </c>
      <c r="K21" t="s">
        <v>261</v>
      </c>
      <c r="L21">
        <v>0</v>
      </c>
      <c r="N21">
        <v>0</v>
      </c>
      <c r="AB21" t="s">
        <v>145</v>
      </c>
      <c r="AC21" t="s">
        <v>50</v>
      </c>
    </row>
    <row r="22" spans="1:29" x14ac:dyDescent="0.3">
      <c r="A22" t="s">
        <v>149</v>
      </c>
      <c r="B22" t="s">
        <v>150</v>
      </c>
      <c r="C22" t="s">
        <v>151</v>
      </c>
      <c r="D22" t="s">
        <v>152</v>
      </c>
      <c r="E22" t="s">
        <v>46</v>
      </c>
      <c r="I22">
        <v>200</v>
      </c>
      <c r="J22" t="s">
        <v>150</v>
      </c>
      <c r="K22" t="s">
        <v>153</v>
      </c>
      <c r="L22">
        <v>30</v>
      </c>
      <c r="M22" t="s">
        <v>154</v>
      </c>
      <c r="N22">
        <v>154</v>
      </c>
      <c r="O22" t="s">
        <v>155</v>
      </c>
      <c r="P22" t="s">
        <v>150</v>
      </c>
      <c r="Q22" t="s">
        <v>85</v>
      </c>
      <c r="R22" t="s">
        <v>156</v>
      </c>
      <c r="S22" t="s">
        <v>153</v>
      </c>
      <c r="T22" t="s">
        <v>157</v>
      </c>
      <c r="U22" t="s">
        <v>150</v>
      </c>
      <c r="V22" t="s">
        <v>131</v>
      </c>
      <c r="X22" t="s">
        <v>133</v>
      </c>
      <c r="Y22" t="s">
        <v>153</v>
      </c>
      <c r="Z22" t="s">
        <v>158</v>
      </c>
      <c r="AB22" t="s">
        <v>149</v>
      </c>
    </row>
    <row r="23" spans="1:29" x14ac:dyDescent="0.3">
      <c r="A23" t="s">
        <v>159</v>
      </c>
      <c r="B23" t="s">
        <v>160</v>
      </c>
      <c r="C23" t="s">
        <v>161</v>
      </c>
      <c r="D23" t="s">
        <v>162</v>
      </c>
      <c r="E23" t="s">
        <v>46</v>
      </c>
      <c r="I23">
        <v>200</v>
      </c>
      <c r="J23" t="s">
        <v>160</v>
      </c>
      <c r="K23" t="s">
        <v>262</v>
      </c>
      <c r="L23">
        <v>0</v>
      </c>
      <c r="N23">
        <v>0</v>
      </c>
      <c r="AC23" t="s">
        <v>50</v>
      </c>
    </row>
    <row r="24" spans="1:29" x14ac:dyDescent="0.3">
      <c r="A24" t="s">
        <v>163</v>
      </c>
      <c r="B24" t="s">
        <v>164</v>
      </c>
      <c r="C24" t="s">
        <v>165</v>
      </c>
      <c r="D24" t="s">
        <v>166</v>
      </c>
      <c r="E24" t="s">
        <v>46</v>
      </c>
      <c r="F24" t="s">
        <v>47</v>
      </c>
      <c r="G24" t="s">
        <v>81</v>
      </c>
      <c r="H24" t="s">
        <v>82</v>
      </c>
      <c r="I24">
        <v>200</v>
      </c>
      <c r="J24" t="s">
        <v>164</v>
      </c>
      <c r="K24" t="s">
        <v>263</v>
      </c>
      <c r="L24">
        <v>58</v>
      </c>
      <c r="M24" t="s">
        <v>167</v>
      </c>
      <c r="N24">
        <v>176</v>
      </c>
      <c r="O24" t="s">
        <v>168</v>
      </c>
      <c r="P24" t="s">
        <v>169</v>
      </c>
      <c r="Q24" t="s">
        <v>85</v>
      </c>
      <c r="R24" t="s">
        <v>156</v>
      </c>
      <c r="S24" t="s">
        <v>170</v>
      </c>
      <c r="T24" t="s">
        <v>171</v>
      </c>
      <c r="U24" t="s">
        <v>169</v>
      </c>
      <c r="V24" t="s">
        <v>131</v>
      </c>
      <c r="W24" t="s">
        <v>172</v>
      </c>
      <c r="X24" t="s">
        <v>133</v>
      </c>
      <c r="Y24" t="s">
        <v>170</v>
      </c>
      <c r="Z24" t="s">
        <v>173</v>
      </c>
      <c r="AA24" t="s">
        <v>172</v>
      </c>
      <c r="AB24" t="s">
        <v>163</v>
      </c>
    </row>
    <row r="25" spans="1:29" x14ac:dyDescent="0.3">
      <c r="A25" t="s">
        <v>174</v>
      </c>
      <c r="B25" t="s">
        <v>175</v>
      </c>
      <c r="C25" t="s">
        <v>176</v>
      </c>
      <c r="D25" t="s">
        <v>177</v>
      </c>
      <c r="E25" t="s">
        <v>46</v>
      </c>
      <c r="I25">
        <v>200</v>
      </c>
      <c r="J25" t="s">
        <v>175</v>
      </c>
      <c r="K25" t="s">
        <v>264</v>
      </c>
      <c r="L25">
        <v>33</v>
      </c>
      <c r="M25" t="s">
        <v>179</v>
      </c>
      <c r="N25">
        <v>132</v>
      </c>
      <c r="P25" t="s">
        <v>175</v>
      </c>
      <c r="Q25" t="s">
        <v>85</v>
      </c>
      <c r="AC25" t="s">
        <v>86</v>
      </c>
    </row>
    <row r="26" spans="1:29" x14ac:dyDescent="0.3">
      <c r="A26" t="s">
        <v>180</v>
      </c>
      <c r="B26" t="s">
        <v>181</v>
      </c>
      <c r="C26" t="s">
        <v>182</v>
      </c>
      <c r="D26" t="s">
        <v>183</v>
      </c>
      <c r="E26" t="s">
        <v>46</v>
      </c>
      <c r="I26">
        <v>200</v>
      </c>
      <c r="J26" t="s">
        <v>181</v>
      </c>
      <c r="K26" t="s">
        <v>265</v>
      </c>
      <c r="L26">
        <v>0</v>
      </c>
      <c r="N26">
        <v>0</v>
      </c>
      <c r="AB26" t="s">
        <v>180</v>
      </c>
      <c r="AC26" t="s">
        <v>50</v>
      </c>
    </row>
    <row r="27" spans="1:29" x14ac:dyDescent="0.3">
      <c r="A27" t="s">
        <v>184</v>
      </c>
      <c r="B27" t="s">
        <v>185</v>
      </c>
      <c r="C27" t="s">
        <v>186</v>
      </c>
      <c r="D27" t="s">
        <v>187</v>
      </c>
      <c r="E27" t="s">
        <v>46</v>
      </c>
      <c r="I27">
        <v>200</v>
      </c>
      <c r="J27" t="s">
        <v>185</v>
      </c>
      <c r="K27" t="s">
        <v>257</v>
      </c>
      <c r="L27">
        <v>0</v>
      </c>
      <c r="N27">
        <v>0</v>
      </c>
      <c r="AC27" t="s">
        <v>50</v>
      </c>
    </row>
  </sheetData>
  <autoFilter ref="A1:AC2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4" customWidth="1"/>
    <col min="3" max="3" width="50" customWidth="1"/>
    <col min="4" max="4" width="18" customWidth="1"/>
    <col min="5" max="5" width="19" customWidth="1"/>
    <col min="6" max="9" width="60" customWidth="1"/>
    <col min="10" max="10" width="50" customWidth="1"/>
    <col min="11" max="11" width="25" customWidth="1"/>
    <col min="12" max="12" width="60" customWidth="1"/>
  </cols>
  <sheetData>
    <row r="1" spans="1:12" x14ac:dyDescent="0.3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</row>
    <row r="2" spans="1:12" x14ac:dyDescent="0.3">
      <c r="A2" t="s">
        <v>44</v>
      </c>
      <c r="B2" t="s">
        <v>200</v>
      </c>
      <c r="C2" t="s">
        <v>45</v>
      </c>
      <c r="D2" t="s">
        <v>201</v>
      </c>
      <c r="E2">
        <v>1</v>
      </c>
      <c r="F2" t="s">
        <v>43</v>
      </c>
      <c r="G2" t="s">
        <v>202</v>
      </c>
      <c r="L2" t="s">
        <v>203</v>
      </c>
    </row>
    <row r="3" spans="1:12" x14ac:dyDescent="0.3">
      <c r="A3" t="s">
        <v>57</v>
      </c>
      <c r="B3" t="s">
        <v>200</v>
      </c>
      <c r="C3" t="s">
        <v>58</v>
      </c>
      <c r="D3" t="s">
        <v>201</v>
      </c>
      <c r="E3">
        <v>1</v>
      </c>
      <c r="F3" t="s">
        <v>56</v>
      </c>
      <c r="L3" t="s">
        <v>203</v>
      </c>
    </row>
    <row r="4" spans="1:12" x14ac:dyDescent="0.3">
      <c r="A4" t="s">
        <v>53</v>
      </c>
      <c r="B4" t="s">
        <v>200</v>
      </c>
      <c r="C4" t="s">
        <v>54</v>
      </c>
      <c r="D4" t="s">
        <v>201</v>
      </c>
      <c r="E4">
        <v>1</v>
      </c>
      <c r="F4" t="s">
        <v>52</v>
      </c>
      <c r="L4" t="s">
        <v>203</v>
      </c>
    </row>
    <row r="5" spans="1:12" x14ac:dyDescent="0.3">
      <c r="A5" t="s">
        <v>61</v>
      </c>
      <c r="B5" t="s">
        <v>200</v>
      </c>
      <c r="C5" t="s">
        <v>62</v>
      </c>
      <c r="D5" t="s">
        <v>201</v>
      </c>
      <c r="E5">
        <v>1</v>
      </c>
      <c r="F5" t="s">
        <v>60</v>
      </c>
      <c r="L5" t="s">
        <v>203</v>
      </c>
    </row>
    <row r="6" spans="1:12" x14ac:dyDescent="0.3">
      <c r="A6" t="s">
        <v>66</v>
      </c>
      <c r="B6" t="s">
        <v>200</v>
      </c>
      <c r="C6" t="s">
        <v>67</v>
      </c>
      <c r="D6" t="s">
        <v>201</v>
      </c>
      <c r="E6">
        <v>1</v>
      </c>
      <c r="F6" t="s">
        <v>65</v>
      </c>
      <c r="G6" t="s">
        <v>204</v>
      </c>
      <c r="H6" t="s">
        <v>205</v>
      </c>
      <c r="L6" t="s">
        <v>203</v>
      </c>
    </row>
    <row r="7" spans="1:12" x14ac:dyDescent="0.3">
      <c r="A7" t="s">
        <v>70</v>
      </c>
      <c r="B7" t="s">
        <v>200</v>
      </c>
      <c r="C7" t="s">
        <v>71</v>
      </c>
      <c r="D7" t="s">
        <v>201</v>
      </c>
      <c r="E7">
        <v>1</v>
      </c>
      <c r="F7" t="s">
        <v>69</v>
      </c>
      <c r="L7" t="s">
        <v>203</v>
      </c>
    </row>
    <row r="8" spans="1:12" x14ac:dyDescent="0.3">
      <c r="A8" t="s">
        <v>74</v>
      </c>
      <c r="B8" t="s">
        <v>200</v>
      </c>
      <c r="C8" t="s">
        <v>75</v>
      </c>
      <c r="D8" t="s">
        <v>201</v>
      </c>
      <c r="E8">
        <v>1</v>
      </c>
      <c r="F8" t="s">
        <v>73</v>
      </c>
      <c r="L8" t="s">
        <v>203</v>
      </c>
    </row>
    <row r="9" spans="1:12" x14ac:dyDescent="0.3">
      <c r="A9" t="s">
        <v>79</v>
      </c>
      <c r="B9" t="s">
        <v>200</v>
      </c>
      <c r="C9" t="s">
        <v>80</v>
      </c>
      <c r="D9" t="s">
        <v>206</v>
      </c>
      <c r="E9">
        <v>1</v>
      </c>
      <c r="F9" t="s">
        <v>78</v>
      </c>
      <c r="G9" t="s">
        <v>83</v>
      </c>
      <c r="H9" t="s">
        <v>84</v>
      </c>
      <c r="J9" t="s">
        <v>79</v>
      </c>
      <c r="K9" t="s">
        <v>207</v>
      </c>
    </row>
    <row r="10" spans="1:12" x14ac:dyDescent="0.3">
      <c r="A10" t="s">
        <v>208</v>
      </c>
      <c r="B10" t="s">
        <v>209</v>
      </c>
      <c r="C10" t="s">
        <v>210</v>
      </c>
      <c r="D10" t="s">
        <v>201</v>
      </c>
      <c r="E10">
        <v>0</v>
      </c>
      <c r="L10" t="s">
        <v>203</v>
      </c>
    </row>
    <row r="11" spans="1:12" x14ac:dyDescent="0.3">
      <c r="A11" t="s">
        <v>89</v>
      </c>
      <c r="B11" t="s">
        <v>200</v>
      </c>
      <c r="C11" t="s">
        <v>90</v>
      </c>
      <c r="D11" t="s">
        <v>201</v>
      </c>
      <c r="E11">
        <v>1</v>
      </c>
      <c r="F11" t="s">
        <v>88</v>
      </c>
      <c r="L11" t="s">
        <v>203</v>
      </c>
    </row>
    <row r="12" spans="1:12" x14ac:dyDescent="0.3">
      <c r="A12" t="s">
        <v>95</v>
      </c>
      <c r="B12" t="s">
        <v>200</v>
      </c>
      <c r="C12" t="s">
        <v>96</v>
      </c>
      <c r="D12" t="s">
        <v>206</v>
      </c>
      <c r="E12">
        <v>1</v>
      </c>
      <c r="F12" t="s">
        <v>94</v>
      </c>
      <c r="G12" t="s">
        <v>97</v>
      </c>
      <c r="H12" t="s">
        <v>98</v>
      </c>
    </row>
    <row r="13" spans="1:12" x14ac:dyDescent="0.3">
      <c r="A13" t="s">
        <v>106</v>
      </c>
      <c r="B13" t="s">
        <v>209</v>
      </c>
      <c r="C13" t="s">
        <v>107</v>
      </c>
      <c r="D13" t="s">
        <v>201</v>
      </c>
      <c r="E13">
        <v>3</v>
      </c>
      <c r="F13" t="s">
        <v>105</v>
      </c>
      <c r="L13" t="s">
        <v>203</v>
      </c>
    </row>
    <row r="14" spans="1:12" x14ac:dyDescent="0.3">
      <c r="A14" t="s">
        <v>102</v>
      </c>
      <c r="B14" t="s">
        <v>200</v>
      </c>
      <c r="C14" t="s">
        <v>103</v>
      </c>
      <c r="D14" t="s">
        <v>201</v>
      </c>
      <c r="E14">
        <v>1</v>
      </c>
      <c r="F14" t="s">
        <v>101</v>
      </c>
      <c r="L14" t="s">
        <v>203</v>
      </c>
    </row>
    <row r="15" spans="1:12" x14ac:dyDescent="0.3">
      <c r="A15" t="s">
        <v>211</v>
      </c>
      <c r="B15" t="s">
        <v>209</v>
      </c>
      <c r="C15" t="s">
        <v>212</v>
      </c>
      <c r="D15" t="s">
        <v>201</v>
      </c>
      <c r="E15">
        <v>0</v>
      </c>
      <c r="L15" t="s">
        <v>203</v>
      </c>
    </row>
    <row r="16" spans="1:12" x14ac:dyDescent="0.3">
      <c r="A16" t="s">
        <v>118</v>
      </c>
      <c r="B16" t="s">
        <v>200</v>
      </c>
      <c r="C16" t="s">
        <v>119</v>
      </c>
      <c r="D16" t="s">
        <v>201</v>
      </c>
      <c r="E16">
        <v>1</v>
      </c>
      <c r="F16" t="s">
        <v>117</v>
      </c>
      <c r="G16" t="s">
        <v>213</v>
      </c>
      <c r="L16" t="s">
        <v>203</v>
      </c>
    </row>
    <row r="17" spans="1:12" x14ac:dyDescent="0.3">
      <c r="A17" t="s">
        <v>121</v>
      </c>
      <c r="B17" t="s">
        <v>200</v>
      </c>
      <c r="C17" t="s">
        <v>122</v>
      </c>
      <c r="D17" t="s">
        <v>201</v>
      </c>
      <c r="E17">
        <v>1</v>
      </c>
      <c r="F17" t="s">
        <v>120</v>
      </c>
      <c r="L17" t="s">
        <v>203</v>
      </c>
    </row>
    <row r="18" spans="1:12" x14ac:dyDescent="0.3">
      <c r="A18" t="s">
        <v>214</v>
      </c>
      <c r="B18" t="s">
        <v>209</v>
      </c>
      <c r="C18" t="s">
        <v>215</v>
      </c>
      <c r="D18" t="s">
        <v>216</v>
      </c>
      <c r="E18">
        <v>0</v>
      </c>
      <c r="G18" t="s">
        <v>217</v>
      </c>
      <c r="H18" t="s">
        <v>218</v>
      </c>
      <c r="I18" t="s">
        <v>219</v>
      </c>
      <c r="J18" t="s">
        <v>220</v>
      </c>
    </row>
    <row r="19" spans="1:12" x14ac:dyDescent="0.3">
      <c r="A19" t="s">
        <v>221</v>
      </c>
      <c r="B19" t="s">
        <v>209</v>
      </c>
      <c r="C19" t="s">
        <v>222</v>
      </c>
      <c r="D19" t="s">
        <v>216</v>
      </c>
      <c r="E19">
        <v>0</v>
      </c>
      <c r="G19" t="s">
        <v>223</v>
      </c>
      <c r="H19" t="s">
        <v>224</v>
      </c>
      <c r="I19" t="s">
        <v>225</v>
      </c>
      <c r="J19" t="s">
        <v>226</v>
      </c>
    </row>
    <row r="20" spans="1:12" x14ac:dyDescent="0.3">
      <c r="A20" t="s">
        <v>125</v>
      </c>
      <c r="B20" t="s">
        <v>200</v>
      </c>
      <c r="C20" t="s">
        <v>126</v>
      </c>
      <c r="D20" t="s">
        <v>206</v>
      </c>
      <c r="E20">
        <v>1</v>
      </c>
      <c r="F20" t="s">
        <v>124</v>
      </c>
      <c r="G20" t="s">
        <v>127</v>
      </c>
      <c r="H20" t="s">
        <v>128</v>
      </c>
      <c r="I20" t="s">
        <v>129</v>
      </c>
    </row>
    <row r="21" spans="1:12" x14ac:dyDescent="0.3">
      <c r="A21" t="s">
        <v>137</v>
      </c>
      <c r="B21" t="s">
        <v>200</v>
      </c>
      <c r="C21" t="s">
        <v>138</v>
      </c>
      <c r="D21" t="s">
        <v>201</v>
      </c>
      <c r="E21">
        <v>1</v>
      </c>
      <c r="F21" t="s">
        <v>136</v>
      </c>
      <c r="G21" t="s">
        <v>227</v>
      </c>
      <c r="H21" t="s">
        <v>228</v>
      </c>
      <c r="L21" t="s">
        <v>203</v>
      </c>
    </row>
    <row r="22" spans="1:12" x14ac:dyDescent="0.3">
      <c r="A22" t="s">
        <v>141</v>
      </c>
      <c r="B22" t="s">
        <v>200</v>
      </c>
      <c r="C22" t="s">
        <v>142</v>
      </c>
      <c r="D22" t="s">
        <v>206</v>
      </c>
      <c r="E22">
        <v>1</v>
      </c>
      <c r="F22" t="s">
        <v>140</v>
      </c>
      <c r="G22" t="s">
        <v>143</v>
      </c>
      <c r="H22" t="s">
        <v>144</v>
      </c>
      <c r="J22" t="s">
        <v>141</v>
      </c>
      <c r="K22" t="s">
        <v>207</v>
      </c>
    </row>
    <row r="23" spans="1:12" x14ac:dyDescent="0.3">
      <c r="A23" t="s">
        <v>147</v>
      </c>
      <c r="B23" t="s">
        <v>200</v>
      </c>
      <c r="C23" t="s">
        <v>148</v>
      </c>
      <c r="D23" t="s">
        <v>201</v>
      </c>
      <c r="E23">
        <v>1</v>
      </c>
      <c r="F23" t="s">
        <v>146</v>
      </c>
      <c r="L23" t="s">
        <v>203</v>
      </c>
    </row>
    <row r="24" spans="1:12" x14ac:dyDescent="0.3">
      <c r="A24" t="s">
        <v>151</v>
      </c>
      <c r="B24" t="s">
        <v>200</v>
      </c>
      <c r="C24" t="s">
        <v>152</v>
      </c>
      <c r="D24" t="s">
        <v>206</v>
      </c>
      <c r="E24">
        <v>1</v>
      </c>
      <c r="F24" t="s">
        <v>150</v>
      </c>
      <c r="G24" t="s">
        <v>153</v>
      </c>
      <c r="H24" t="s">
        <v>229</v>
      </c>
      <c r="I24" t="s">
        <v>230</v>
      </c>
      <c r="J24" t="s">
        <v>150</v>
      </c>
      <c r="K24" t="s">
        <v>207</v>
      </c>
    </row>
    <row r="25" spans="1:12" x14ac:dyDescent="0.3">
      <c r="A25" t="s">
        <v>161</v>
      </c>
      <c r="B25" t="s">
        <v>200</v>
      </c>
      <c r="C25" t="s">
        <v>162</v>
      </c>
      <c r="D25" t="s">
        <v>201</v>
      </c>
      <c r="E25">
        <v>1</v>
      </c>
      <c r="F25" t="s">
        <v>160</v>
      </c>
      <c r="L25" t="s">
        <v>203</v>
      </c>
    </row>
    <row r="26" spans="1:12" x14ac:dyDescent="0.3">
      <c r="A26" t="s">
        <v>165</v>
      </c>
      <c r="B26" t="s">
        <v>200</v>
      </c>
      <c r="C26" t="s">
        <v>166</v>
      </c>
      <c r="D26" t="s">
        <v>206</v>
      </c>
      <c r="E26">
        <v>1</v>
      </c>
      <c r="F26" t="s">
        <v>164</v>
      </c>
      <c r="G26" t="s">
        <v>231</v>
      </c>
      <c r="H26" t="s">
        <v>229</v>
      </c>
      <c r="I26" t="s">
        <v>232</v>
      </c>
      <c r="J26" t="s">
        <v>169</v>
      </c>
      <c r="K26" t="s">
        <v>207</v>
      </c>
    </row>
    <row r="27" spans="1:12" x14ac:dyDescent="0.3">
      <c r="A27" t="s">
        <v>176</v>
      </c>
      <c r="B27" t="s">
        <v>200</v>
      </c>
      <c r="C27" t="s">
        <v>177</v>
      </c>
      <c r="D27" t="s">
        <v>206</v>
      </c>
      <c r="E27">
        <v>1</v>
      </c>
      <c r="F27" t="s">
        <v>175</v>
      </c>
      <c r="G27" t="s">
        <v>178</v>
      </c>
      <c r="H27" t="s">
        <v>179</v>
      </c>
      <c r="J27" t="s">
        <v>176</v>
      </c>
      <c r="K27" t="s">
        <v>207</v>
      </c>
    </row>
    <row r="28" spans="1:12" x14ac:dyDescent="0.3">
      <c r="A28" t="s">
        <v>182</v>
      </c>
      <c r="B28" t="s">
        <v>200</v>
      </c>
      <c r="C28" t="s">
        <v>183</v>
      </c>
      <c r="D28" t="s">
        <v>201</v>
      </c>
      <c r="E28">
        <v>1</v>
      </c>
      <c r="F28" t="s">
        <v>181</v>
      </c>
      <c r="L28" t="s">
        <v>203</v>
      </c>
    </row>
    <row r="29" spans="1:12" x14ac:dyDescent="0.3">
      <c r="A29" t="s">
        <v>186</v>
      </c>
      <c r="B29" t="s">
        <v>200</v>
      </c>
      <c r="C29" t="s">
        <v>187</v>
      </c>
      <c r="D29" t="s">
        <v>201</v>
      </c>
      <c r="E29">
        <v>1</v>
      </c>
      <c r="F29" t="s">
        <v>185</v>
      </c>
      <c r="L29" t="s">
        <v>203</v>
      </c>
    </row>
  </sheetData>
  <autoFilter ref="A1:L2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60" customWidth="1"/>
  </cols>
  <sheetData>
    <row r="1" spans="1:2" x14ac:dyDescent="0.3">
      <c r="A1" s="1" t="s">
        <v>233</v>
      </c>
      <c r="B1" s="1" t="s">
        <v>234</v>
      </c>
    </row>
    <row r="2" spans="1:2" x14ac:dyDescent="0.3">
      <c r="A2" s="2" t="s">
        <v>235</v>
      </c>
      <c r="B2" s="2" t="s">
        <v>236</v>
      </c>
    </row>
    <row r="3" spans="1:2" x14ac:dyDescent="0.3">
      <c r="A3" s="2" t="s">
        <v>237</v>
      </c>
      <c r="B3" s="2" t="s">
        <v>238</v>
      </c>
    </row>
    <row r="4" spans="1:2" x14ac:dyDescent="0.3">
      <c r="A4" s="2" t="s">
        <v>239</v>
      </c>
      <c r="B4" s="2" t="s">
        <v>240</v>
      </c>
    </row>
    <row r="5" spans="1:2" x14ac:dyDescent="0.3">
      <c r="A5" s="2" t="s">
        <v>241</v>
      </c>
      <c r="B5" s="2" t="s">
        <v>240</v>
      </c>
    </row>
    <row r="6" spans="1:2" x14ac:dyDescent="0.3">
      <c r="A6" s="2" t="s">
        <v>242</v>
      </c>
      <c r="B6" s="2" t="s">
        <v>240</v>
      </c>
    </row>
    <row r="7" spans="1:2" x14ac:dyDescent="0.3">
      <c r="A7" s="2" t="s">
        <v>243</v>
      </c>
      <c r="B7" s="2" t="s">
        <v>244</v>
      </c>
    </row>
    <row r="8" spans="1:2" x14ac:dyDescent="0.3">
      <c r="A8" s="2" t="s">
        <v>245</v>
      </c>
      <c r="B8" s="2" t="s">
        <v>246</v>
      </c>
    </row>
    <row r="9" spans="1:2" x14ac:dyDescent="0.3">
      <c r="A9" s="2" t="s">
        <v>247</v>
      </c>
      <c r="B9" s="2" t="s">
        <v>248</v>
      </c>
    </row>
    <row r="10" spans="1:2" ht="144" x14ac:dyDescent="0.3">
      <c r="A10" s="2" t="s">
        <v>249</v>
      </c>
      <c r="B10" s="2" t="s">
        <v>250</v>
      </c>
    </row>
  </sheetData>
  <autoFilter ref="A1:B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Live Metadata</vt:lpstr>
      <vt:lpstr>Route Audit</vt:lpstr>
      <vt:lpstr>Global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Yashvardhan Chauhan</cp:lastModifiedBy>
  <dcterms:created xsi:type="dcterms:W3CDTF">2026-03-07T06:34:16Z</dcterms:created>
  <dcterms:modified xsi:type="dcterms:W3CDTF">2026-03-07T13:28:45Z</dcterms:modified>
</cp:coreProperties>
</file>